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eliers" sheetId="1" state="visible" r:id="rId3"/>
    <sheet name="Suivi" sheetId="2" state="visible" r:id="rId4"/>
    <sheet name="Comparaison" sheetId="3" state="visible" r:id="rId5"/>
    <sheet name="Légende" sheetId="4" state="visible" r:id="rId6"/>
  </sheets>
  <definedNames>
    <definedName function="false" hidden="true" localSheetId="0" name="_xlnm._FilterDatabase" vbProcedure="false">Ateliers!$A$4:$N$24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<sst xmlns="http://schemas.openxmlformats.org/spreadsheetml/2006/main" count="420" uniqueCount="242">
  <si>
    <t xml:space="preserve">LV-AO-METAL-01 — Ateliers consultés (lots 2a aquarium / 2b châssis)</t>
  </si>
  <si>
    <t xml:space="preserve">Coordonnées relevées le 29-09-2026 sur les sites des ateliers. Note 0 = écarté (pas d'adresse publiée ou hors propos), 5 = à prendre. Vague 1 = 12 ateliers (6 aquarium, 6 châssis). Cellules jaunes = à compléter.</t>
  </si>
  <si>
    <t xml:space="preserve">Réf.</t>
  </si>
  <si>
    <t xml:space="preserve">Atelier</t>
  </si>
  <si>
    <t xml:space="preserve">Lot</t>
  </si>
  <si>
    <t xml:space="preserve">Vague</t>
  </si>
  <si>
    <t xml:space="preserve">Langue</t>
  </si>
  <si>
    <t xml:space="preserve">Ville (pays)</t>
  </si>
  <si>
    <t xml:space="preserve">Site web</t>
  </si>
  <si>
    <t xml:space="preserve">E-mail</t>
  </si>
  <si>
    <t xml:space="preserve">Téléphone</t>
  </si>
  <si>
    <t xml:space="preserve">Spécialité</t>
  </si>
  <si>
    <t xml:space="preserve">Remarque</t>
  </si>
  <si>
    <t xml:space="preserve">Note Pierre 0–5 (29-09)</t>
  </si>
  <si>
    <t xml:space="preserve">Motif si écarté</t>
  </si>
  <si>
    <t xml:space="preserve">Contact nominatif</t>
  </si>
  <si>
    <t xml:space="preserve">A01</t>
  </si>
  <si>
    <t xml:space="preserve">Inoxytech ICRB bv</t>
  </si>
  <si>
    <t xml:space="preserve">2a Aquarium</t>
  </si>
  <si>
    <t xml:space="preserve">Vague 1</t>
  </si>
  <si>
    <t xml:space="preserve">NL</t>
  </si>
  <si>
    <t xml:space="preserve">Kuurne (BE)</t>
  </si>
  <si>
    <t xml:space="preserve">https://www.inoxytech.be</t>
  </si>
  <si>
    <t xml:space="preserve">info@inoxytech.be</t>
  </si>
  <si>
    <t xml:space="preserve">+32 56 43 93 93</t>
  </si>
  <si>
    <t xml:space="preserve">Structures inox sur mesure (pharma, horeca, agroalimentaire, construction)</t>
  </si>
  <si>
    <t xml:space="preserve">Identification sûre</t>
  </si>
  <si>
    <t xml:space="preserve">A02</t>
  </si>
  <si>
    <t xml:space="preserve">Ateliers Emile Meurice SRL</t>
  </si>
  <si>
    <t xml:space="preserve">—</t>
  </si>
  <si>
    <t xml:space="preserve">Écarté</t>
  </si>
  <si>
    <t xml:space="preserve">FR</t>
  </si>
  <si>
    <t xml:space="preserve">Montignies-sur-Sambre (BE)</t>
  </si>
  <si>
    <t xml:space="preserve">https://www.ateliers-meurice.be</t>
  </si>
  <si>
    <t xml:space="preserve">info@ateliers-meurice.be</t>
  </si>
  <si>
    <t xml:space="preserve">+32 71 30 72 19</t>
  </si>
  <si>
    <t xml:space="preserve">Usinage de précision, soudure, traitement thermique ; travaille l'inox</t>
  </si>
  <si>
    <t xml:space="preserve">Atelier de mécanique plus que chaudronnerie — vérifier que c'est bien le Meurice visé</t>
  </si>
  <si>
    <t xml:space="preserve">hors propos → 0</t>
  </si>
  <si>
    <t xml:space="preserve">A03</t>
  </si>
  <si>
    <t xml:space="preserve">Ateliers Charles Webber SRL</t>
  </si>
  <si>
    <t xml:space="preserve">Châtelineau (BE)</t>
  </si>
  <si>
    <t xml:space="preserve">https://www.chaudronnerie-webber.be</t>
  </si>
  <si>
    <t xml:space="preserve">formulaire de contact</t>
  </si>
  <si>
    <t xml:space="preserve">+32 71 38 42 59</t>
  </si>
  <si>
    <t xml:space="preserve">Construction métallique et chaudronnerie, cuves inox, montage sur site</t>
  </si>
  <si>
    <t xml:space="preserve">Pas d'e-mail publié</t>
  </si>
  <si>
    <t xml:space="preserve">pas d'adresse e-mail publiée → 0 (note initiale 1)</t>
  </si>
  <si>
    <t xml:space="preserve">A04</t>
  </si>
  <si>
    <t xml:space="preserve">B.M.C. Inox (BMCI)</t>
  </si>
  <si>
    <t xml:space="preserve">Saint-Martin-Boulogne (FR)</t>
  </si>
  <si>
    <t xml:space="preserve">https://www.bmc-inox.fr</t>
  </si>
  <si>
    <t xml:space="preserve">contact@bmc-inox.fr</t>
  </si>
  <si>
    <t xml:space="preserve">+33 6 50 83 36 94</t>
  </si>
  <si>
    <t xml:space="preserve">Chaudronnerie inox agroalimentaire et industrielle, soudure sous azote</t>
  </si>
  <si>
    <t xml:space="preserve">Pas-de-Calais, ~1 h de Westende</t>
  </si>
  <si>
    <t xml:space="preserve">A05</t>
  </si>
  <si>
    <t xml:space="preserve">ADCL Industries</t>
  </si>
  <si>
    <t xml:space="preserve">Dunkerque (FR)</t>
  </si>
  <si>
    <t xml:space="preserve">https://adcl-industries.fr</t>
  </si>
  <si>
    <t xml:space="preserve">contact@adcl-industries.fr</t>
  </si>
  <si>
    <t xml:space="preserve">+33 3 28 51 10 46</t>
  </si>
  <si>
    <t xml:space="preserve">Découpe jet d'eau, pliage, ensembles mécano-soudés acier/inox (chimie, maritime)</t>
  </si>
  <si>
    <t xml:space="preserve">Nord, proche de la côte</t>
  </si>
  <si>
    <t xml:space="preserve">A06</t>
  </si>
  <si>
    <t xml:space="preserve">KAIROS Maintenance et solutions industrielles</t>
  </si>
  <si>
    <t xml:space="preserve">Calais (FR)</t>
  </si>
  <si>
    <t xml:space="preserve">https://www.kairos-hdf.com</t>
  </si>
  <si>
    <t xml:space="preserve">+33 3 21 96 07 28</t>
  </si>
  <si>
    <t xml:space="preserve">Chaudronnerie-métallerie acier/inox : cuves, châssis, garde-corps</t>
  </si>
  <si>
    <t xml:space="preserve">A07</t>
  </si>
  <si>
    <t xml:space="preserve">Scheepswerf IDP NV (IDP Shipyard)</t>
  </si>
  <si>
    <t xml:space="preserve">Oostende (BE)</t>
  </si>
  <si>
    <t xml:space="preserve">https://www.idp-shipyard.be</t>
  </si>
  <si>
    <t xml:space="preserve">idp@idp-shipyard.be</t>
  </si>
  <si>
    <t xml:space="preserve">+32 59 32 18 64</t>
  </si>
  <si>
    <t xml:space="preserve">Chantier naval, ateliers mécanique et chaudronnerie</t>
  </si>
  <si>
    <t xml:space="preserve">Plutôt réparation navale</t>
  </si>
  <si>
    <t xml:space="preserve">A08</t>
  </si>
  <si>
    <t xml:space="preserve">ConceptInox SRL</t>
  </si>
  <si>
    <t xml:space="preserve">La Bruyère (BE)</t>
  </si>
  <si>
    <t xml:space="preserve">https://conceptinox.be</t>
  </si>
  <si>
    <t xml:space="preserve">+32 478 95 68 72</t>
  </si>
  <si>
    <t xml:space="preserve">Créations inox sur mesure : garde-corps, mobilier, polissage</t>
  </si>
  <si>
    <t xml:space="preserve">Petit atelier artisanal</t>
  </si>
  <si>
    <t xml:space="preserve">pas d'adresse e-mail publiée → 0 (note initiale 3)</t>
  </si>
  <si>
    <t xml:space="preserve">A09</t>
  </si>
  <si>
    <t xml:space="preserve">Metaalwerken Vanthuyne NV</t>
  </si>
  <si>
    <t xml:space="preserve">Nieuwpoort (BE)</t>
  </si>
  <si>
    <t xml:space="preserve">https://www.vanthuynenv.be</t>
  </si>
  <si>
    <t xml:space="preserve">info@vanthuynenv.be</t>
  </si>
  <si>
    <t xml:space="preserve">+32 58 23 78 84</t>
  </si>
  <si>
    <t xml:space="preserve">Constructions métal, inox, alu ; tôlerie, tournage-fraisage</t>
  </si>
  <si>
    <t xml:space="preserve">Identification probable ; à 10 km de Westende</t>
  </si>
  <si>
    <t xml:space="preserve">C01</t>
  </si>
  <si>
    <t xml:space="preserve">Ateliers Melens &amp; Dejardin SRL</t>
  </si>
  <si>
    <t xml:space="preserve">2b Châssis</t>
  </si>
  <si>
    <t xml:space="preserve">Jupille-sur-Meuse (BE)</t>
  </si>
  <si>
    <t xml:space="preserve">https://www.melensdejardin.be</t>
  </si>
  <si>
    <t xml:space="preserve">secretariat@melensdejardin.be</t>
  </si>
  <si>
    <t xml:space="preserve">+32 4 362 62 20</t>
  </si>
  <si>
    <t xml:space="preserve">Chaudronnerie industrielle, architecture, art ; pièces sur mesure jusqu'à 8 m</t>
  </si>
  <si>
    <t xml:space="preserve">Depuis 1932 ; expérience œuvres d'art</t>
  </si>
  <si>
    <t xml:space="preserve">C02</t>
  </si>
  <si>
    <t xml:space="preserve">Moker BV (Metaalkreaties)</t>
  </si>
  <si>
    <t xml:space="preserve">Boom (BE)</t>
  </si>
  <si>
    <t xml:space="preserve">https://www.moker.be</t>
  </si>
  <si>
    <t xml:space="preserve">+32 3 888 96 86</t>
  </si>
  <si>
    <t xml:space="preserve">Metaalatelier art, architecture, design (acier, inox, alu)</t>
  </si>
  <si>
    <t xml:space="preserve">Coordonnées via Infosteel, à confirmer</t>
  </si>
  <si>
    <t xml:space="preserve">pas d'adresse e-mail publiée → 0 (note initiale 2)</t>
  </si>
  <si>
    <t xml:space="preserve">C03</t>
  </si>
  <si>
    <t xml:space="preserve">Metaalcomfort BVBA</t>
  </si>
  <si>
    <t xml:space="preserve">https://www.metaalcomfort.be</t>
  </si>
  <si>
    <t xml:space="preserve">info@metaalcomfort.be</t>
  </si>
  <si>
    <t xml:space="preserve">+32 59 80 54 60</t>
  </si>
  <si>
    <t xml:space="preserve">Métallerie sur mesure acier/alu/inox : escaliers, balustrades</t>
  </si>
  <si>
    <t xml:space="preserve">À 15 km de Westende</t>
  </si>
  <si>
    <t xml:space="preserve">C04</t>
  </si>
  <si>
    <t xml:space="preserve">Prosoudure SRL</t>
  </si>
  <si>
    <t xml:space="preserve">Verlaine (BE)</t>
  </si>
  <si>
    <t xml:space="preserve">https://www.prosoudure.be</t>
  </si>
  <si>
    <t xml:space="preserve">info@prosoudure.be</t>
  </si>
  <si>
    <t xml:space="preserve">+32 498 27 64 41</t>
  </si>
  <si>
    <t xml:space="preserve">Construction métallique inox/acier, tôlerie, découpe laser ; EN 1090-2</t>
  </si>
  <si>
    <t xml:space="preserve">Certifié EN 1090-2</t>
  </si>
  <si>
    <t xml:space="preserve">C05</t>
  </si>
  <si>
    <t xml:space="preserve">MV Soudure</t>
  </si>
  <si>
    <t xml:space="preserve">Ghlin / Mons (BE)</t>
  </si>
  <si>
    <t xml:space="preserve">https://www.mvsoudure.be</t>
  </si>
  <si>
    <t xml:space="preserve">info@mvsoudure.be</t>
  </si>
  <si>
    <t xml:space="preserve">+32 491 24 96 26</t>
  </si>
  <si>
    <t xml:space="preserve">Ferronnerie-métallerie : garde-corps, escaliers, découpe CNC</t>
  </si>
  <si>
    <t xml:space="preserve">C06</t>
  </si>
  <si>
    <t xml:space="preserve">Made in Inox BV</t>
  </si>
  <si>
    <t xml:space="preserve">Poperinge (BE)</t>
  </si>
  <si>
    <t xml:space="preserve">https://www.madeininox.be</t>
  </si>
  <si>
    <t xml:space="preserve">+32 57 38 81 04</t>
  </si>
  <si>
    <t xml:space="preserve">Métallerie inox sur mesure : escaliers, châssis, art</t>
  </si>
  <si>
    <t xml:space="preserve">Forge depuis 1878 ; téléphone à confirmer</t>
  </si>
  <si>
    <t xml:space="preserve">C07</t>
  </si>
  <si>
    <t xml:space="preserve">Tecno Art BV</t>
  </si>
  <si>
    <t xml:space="preserve">Kalmthout (BE)</t>
  </si>
  <si>
    <t xml:space="preserve">https://tecnoart.be</t>
  </si>
  <si>
    <t xml:space="preserve">+32 3 651 44 84</t>
  </si>
  <si>
    <t xml:space="preserve">Constructions acier pour espace public, mobilier urbain</t>
  </si>
  <si>
    <t xml:space="preserve">Néerlandophone (pas FR)</t>
  </si>
  <si>
    <t xml:space="preserve">C08</t>
  </si>
  <si>
    <t xml:space="preserve">Atelier de Ferronnerie Degueldre SRL</t>
  </si>
  <si>
    <t xml:space="preserve">Hermalle-sous-Huy (BE)</t>
  </si>
  <si>
    <t xml:space="preserve">https://atelierdegueldre.be</t>
  </si>
  <si>
    <t xml:space="preserve">info@atelierdegueldre.be</t>
  </si>
  <si>
    <t xml:space="preserve">+32 85 41 21 23</t>
  </si>
  <si>
    <t xml:space="preserve">Ferronnerie sur mesure : escaliers, garde-corps, Corten</t>
  </si>
  <si>
    <t xml:space="preserve">C09</t>
  </si>
  <si>
    <t xml:space="preserve">Luc Martin Soudure</t>
  </si>
  <si>
    <t xml:space="preserve">Louveigné (BE)</t>
  </si>
  <si>
    <t xml:space="preserve">https://www.lucmartinsoudure.be</t>
  </si>
  <si>
    <t xml:space="preserve">inoxmartin@gmail.com</t>
  </si>
  <si>
    <t xml:space="preserve">+32 474 94 06 01</t>
  </si>
  <si>
    <t xml:space="preserve">Construction métallique, TIG/MIG, inox ; EN 1090</t>
  </si>
  <si>
    <t xml:space="preserve">Sur rendez-vous</t>
  </si>
  <si>
    <t xml:space="preserve">C10</t>
  </si>
  <si>
    <t xml:space="preserve">La Manufacture du Métal</t>
  </si>
  <si>
    <t xml:space="preserve">Noyelles-lès-Seclin (FR)</t>
  </si>
  <si>
    <t xml:space="preserve">https://manufacture-metal.fr</t>
  </si>
  <si>
    <t xml:space="preserve">cb@manufacture-metal.fr</t>
  </si>
  <si>
    <t xml:space="preserve">+33 3 20 32 19 65</t>
  </si>
  <si>
    <t xml:space="preserve">Métallerie d'agencement et d'architecture : acier, inox, laiton</t>
  </si>
  <si>
    <t xml:space="preserve">C11</t>
  </si>
  <si>
    <t xml:space="preserve">D'ART Design</t>
  </si>
  <si>
    <t xml:space="preserve">Steenwerck (FR)</t>
  </si>
  <si>
    <t xml:space="preserve">https://dartdesign.fr</t>
  </si>
  <si>
    <t xml:space="preserve">Julien@dartdesign.fr</t>
  </si>
  <si>
    <t xml:space="preserve">+33 6 03 33 38 95</t>
  </si>
  <si>
    <t xml:space="preserve">Métallerie design : garde-corps, verrières, portails</t>
  </si>
  <si>
    <t xml:space="preserve">Petite structure ; intervient en Belgique</t>
  </si>
  <si>
    <t xml:space="preserve">LV-AO-METAL-01 — Suivi des demandes d'offre</t>
  </si>
  <si>
    <t xml:space="preserve">Jaune = à remplir le jour même de l'envoi / du retour. Relance = date d'envoi + 10 jours (formule). Montant en € HT, hors transport sauf mention. Code lien 3D = suffixe &amp;a=XXX du lien maquette dans le mail ; ouvertures visibles sur stat-les-veilleurs (code STAT).</t>
  </si>
  <si>
    <t xml:space="preserve">Contact</t>
  </si>
  <si>
    <t xml:space="preserve">Date d'envoi</t>
  </si>
  <si>
    <t xml:space="preserve">Relance (J+10)</t>
  </si>
  <si>
    <t xml:space="preserve">Réponse (date)</t>
  </si>
  <si>
    <t xml:space="preserve">Montant € HT</t>
  </si>
  <si>
    <t xml:space="preserve">Délai (semaines)</t>
  </si>
  <si>
    <t xml:space="preserve">Décision</t>
  </si>
  <si>
    <t xml:space="preserve">Remarques</t>
  </si>
  <si>
    <t xml:space="preserve">Code lien 3D</t>
  </si>
  <si>
    <t xml:space="preserve">3D ouverte (stat)</t>
  </si>
  <si>
    <t xml:space="preserve">à envoyer</t>
  </si>
  <si>
    <t xml:space="preserve">INX</t>
  </si>
  <si>
    <t xml:space="preserve">BMC</t>
  </si>
  <si>
    <t xml:space="preserve">ADC</t>
  </si>
  <si>
    <t xml:space="preserve">VAN</t>
  </si>
  <si>
    <t xml:space="preserve">envoyé</t>
  </si>
  <si>
    <t xml:space="preserve">envoyé depuis Gmail (sans pixel Superhuman) ; lien 3D sans code</t>
  </si>
  <si>
    <t xml:space="preserve">MEL</t>
  </si>
  <si>
    <t xml:space="preserve">MTC</t>
  </si>
  <si>
    <t xml:space="preserve">PRO</t>
  </si>
  <si>
    <t xml:space="preserve">MVS</t>
  </si>
  <si>
    <t xml:space="preserve">DEG</t>
  </si>
  <si>
    <t xml:space="preserve">LMA</t>
  </si>
  <si>
    <t xml:space="preserve">MDM</t>
  </si>
  <si>
    <t xml:space="preserve">DAD</t>
  </si>
  <si>
    <t xml:space="preserve">Envoyés</t>
  </si>
  <si>
    <t xml:space="preserve">Offres reçues</t>
  </si>
  <si>
    <t xml:space="preserve">À relancer aujourd'hui</t>
  </si>
  <si>
    <t xml:space="preserve">LV-AO-METAL-01 — Grille de comparaison des offres</t>
  </si>
  <si>
    <t xml:space="preserve">Montant et délai sont repris automatiquement de l'onglet Suivi. Les colonnes techniques (jaune) se remplissent à la lecture de l'offre : O / N / partiel, ou une note courte.</t>
  </si>
  <si>
    <t xml:space="preserve">Délai (sem.)</t>
  </si>
  <si>
    <t xml:space="preserve">Écart au moins-disant</t>
  </si>
  <si>
    <t xml:space="preserve">Nuance 316L confirmée</t>
  </si>
  <si>
    <t xml:space="preserve">Certificat matière 3.1</t>
  </si>
  <si>
    <t xml:space="preserve">Essai / recette prévu</t>
  </si>
  <si>
    <t xml:space="preserve">Transport et pose inclus</t>
  </si>
  <si>
    <t xml:space="preserve">Garantie 10 ans</t>
  </si>
  <si>
    <t xml:space="preserve">Conformité au cahier</t>
  </si>
  <si>
    <t xml:space="preserve">Points ouverts</t>
  </si>
  <si>
    <t xml:space="preserve">Note globale (1-5)</t>
  </si>
  <si>
    <t xml:space="preserve">Moins-disant 2a Aquarium</t>
  </si>
  <si>
    <t xml:space="preserve">Moins-disant 2b Châssis</t>
  </si>
  <si>
    <t xml:space="preserve">Colonne E des lignes de synthèse = montant moyen du lot.</t>
  </si>
  <si>
    <t xml:space="preserve">Fichier</t>
  </si>
  <si>
    <t xml:space="preserve">LV-AO-METAL-01 — appels d'offres menuiserie métallique, Les Veilleurs (Eva L'Hoest, Beaufort 27)</t>
  </si>
  <si>
    <t xml:space="preserve">Lots</t>
  </si>
  <si>
    <t xml:space="preserve">2a = aquarium (caisson inox 316L, couvercle, joint, essai) · 2b = châssis de l'écran (tube 80×40×3 316L, 1 890 hors tout, montants 1 728 dont 528 encastrés)</t>
  </si>
  <si>
    <t xml:space="preserve">Courrier</t>
  </si>
  <si>
    <t xml:space="preserve">Modèle validé le 29-09-2026 (FR/EN/NL) : voix d'Eva, contact Gioacchino seul, signature Production Office ajoutée par Gmail ; expéditeur eva.production.bx@gmail.com ; liens = Drive de l'item + maquette 3D</t>
  </si>
  <si>
    <t xml:space="preserve">Règle</t>
  </si>
  <si>
    <t xml:space="preserve">Un seul item par atelier au premier contact ; le second item lui est proposé plus tard si le courant passe</t>
  </si>
  <si>
    <t xml:space="preserve">Onglet Ateliers</t>
  </si>
  <si>
    <t xml:space="preserve">20 ateliers repérés, notés de 0 à 5 par Pierre le 29-09-2026 ; 12 en vague 1 (6 aquarium, 6 châssis), 8 écartés (lignes grises : pas d'adresse publiée ou hors propos)</t>
  </si>
  <si>
    <t xml:space="preserve">Onglet Suivi</t>
  </si>
  <si>
    <t xml:space="preserve">Une ligne par envoi ; consigner le jour même. Relance calculée à J+10. Décision : liste déroulante</t>
  </si>
  <si>
    <t xml:space="preserve">Onglet Comparaison</t>
  </si>
  <si>
    <t xml:space="preserve">Grille unique par lot ; montant et délai repris du Suivi ; colonnes techniques à remplir à la lecture des offres</t>
  </si>
  <si>
    <t xml:space="preserve">Cellules jaunes</t>
  </si>
  <si>
    <t xml:space="preserve">À remplir</t>
  </si>
  <si>
    <t xml:space="preserve">Signature des courriers</t>
  </si>
  <si>
    <t xml:space="preserve">Eva L'Hoest (artiste, maître d'œuvre) ; Gioacchino Miceli (assistant électromécanique)</t>
  </si>
  <si>
    <t xml:space="preserve">Sources contacts</t>
  </si>
  <si>
    <t xml:space="preserve">Sites des ateliers, Infosteel, annuaires (Cylex, Kompass) — relevé du 29-09-2026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</si>
</sst>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&quot; €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4F4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oxytech.be/" TargetMode="External"/><Relationship Id="rId2" Type="http://schemas.openxmlformats.org/officeDocument/2006/relationships/hyperlink" Target="https://www.ateliers-meurice.be/" TargetMode="External"/><Relationship Id="rId3" Type="http://schemas.openxmlformats.org/officeDocument/2006/relationships/hyperlink" Target="https://www.chaudronnerie-webber.be/" TargetMode="External"/><Relationship Id="rId4" Type="http://schemas.openxmlformats.org/officeDocument/2006/relationships/hyperlink" Target="https://www.bmc-inox.fr/" TargetMode="External"/><Relationship Id="rId5" Type="http://schemas.openxmlformats.org/officeDocument/2006/relationships/hyperlink" Target="https://adcl-industries.fr/" TargetMode="External"/><Relationship Id="rId6" Type="http://schemas.openxmlformats.org/officeDocument/2006/relationships/hyperlink" Target="https://www.kairos-hdf.com/" TargetMode="External"/><Relationship Id="rId7" Type="http://schemas.openxmlformats.org/officeDocument/2006/relationships/hyperlink" Target="https://www.idp-shipyard.be/" TargetMode="External"/><Relationship Id="rId8" Type="http://schemas.openxmlformats.org/officeDocument/2006/relationships/hyperlink" Target="https://conceptinox.be/" TargetMode="External"/><Relationship Id="rId9" Type="http://schemas.openxmlformats.org/officeDocument/2006/relationships/hyperlink" Target="https://www.vanthuynenv.be/" TargetMode="External"/><Relationship Id="rId10" Type="http://schemas.openxmlformats.org/officeDocument/2006/relationships/hyperlink" Target="https://www.melensdejardin.be/" TargetMode="External"/><Relationship Id="rId11" Type="http://schemas.openxmlformats.org/officeDocument/2006/relationships/hyperlink" Target="https://www.moker.be/" TargetMode="External"/><Relationship Id="rId12" Type="http://schemas.openxmlformats.org/officeDocument/2006/relationships/hyperlink" Target="https://www.metaalcomfort.be/" TargetMode="External"/><Relationship Id="rId13" Type="http://schemas.openxmlformats.org/officeDocument/2006/relationships/hyperlink" Target="https://www.prosoudure.be/" TargetMode="External"/><Relationship Id="rId14" Type="http://schemas.openxmlformats.org/officeDocument/2006/relationships/hyperlink" Target="https://www.mvsoudure.be/" TargetMode="External"/><Relationship Id="rId15" Type="http://schemas.openxmlformats.org/officeDocument/2006/relationships/hyperlink" Target="https://www.madeininox.be/" TargetMode="External"/><Relationship Id="rId16" Type="http://schemas.openxmlformats.org/officeDocument/2006/relationships/hyperlink" Target="https://tecnoart.be/" TargetMode="External"/><Relationship Id="rId17" Type="http://schemas.openxmlformats.org/officeDocument/2006/relationships/hyperlink" Target="https://atelierdegueldre.be/" TargetMode="External"/><Relationship Id="rId18" Type="http://schemas.openxmlformats.org/officeDocument/2006/relationships/hyperlink" Target="https://www.lucmartinsoudure.be/" TargetMode="External"/><Relationship Id="rId19" Type="http://schemas.openxmlformats.org/officeDocument/2006/relationships/hyperlink" Target="https://manufacture-metal.fr/" TargetMode="External"/><Relationship Id="rId20" Type="http://schemas.openxmlformats.org/officeDocument/2006/relationships/hyperlink" Target="https://dartdesign.fr/" TargetMode="External"/><Relationship Id="rId2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46"/>
    <col collapsed="false" customWidth="true" hidden="false" outlineLevel="0" max="11" min="11" style="0" width="40"/>
    <col collapsed="false" customWidth="true" hidden="false" outlineLevel="0" max="12" min="12" style="0" width="10"/>
    <col collapsed="false" customWidth="true" hidden="false" outlineLevel="0" max="13" min="13" style="0" width="34"/>
    <col collapsed="false" customWidth="true" hidden="false" outlineLevel="0" max="14" min="14" style="0" width="2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6.2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23.8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5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n">
        <v>2</v>
      </c>
      <c r="M5" s="4"/>
      <c r="N5" s="6"/>
    </row>
    <row r="6" customFormat="false" ht="23.85" hidden="false" customHeight="false" outlineLevel="0" collapsed="false">
      <c r="A6" s="7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7" t="s">
        <v>32</v>
      </c>
      <c r="G6" s="8" t="s">
        <v>33</v>
      </c>
      <c r="H6" s="7" t="s">
        <v>34</v>
      </c>
      <c r="I6" s="7" t="s">
        <v>35</v>
      </c>
      <c r="J6" s="7" t="s">
        <v>36</v>
      </c>
      <c r="K6" s="7" t="s">
        <v>37</v>
      </c>
      <c r="L6" s="7" t="n">
        <v>0</v>
      </c>
      <c r="M6" s="7" t="s">
        <v>38</v>
      </c>
      <c r="N6" s="6"/>
    </row>
    <row r="7" customFormat="false" ht="23.85" hidden="false" customHeight="false" outlineLevel="0" collapsed="false">
      <c r="A7" s="7" t="s">
        <v>39</v>
      </c>
      <c r="B7" s="7" t="s">
        <v>40</v>
      </c>
      <c r="C7" s="7" t="s">
        <v>29</v>
      </c>
      <c r="D7" s="7" t="s">
        <v>30</v>
      </c>
      <c r="E7" s="7" t="s">
        <v>31</v>
      </c>
      <c r="F7" s="7" t="s">
        <v>41</v>
      </c>
      <c r="G7" s="8" t="s">
        <v>42</v>
      </c>
      <c r="H7" s="7" t="s">
        <v>43</v>
      </c>
      <c r="I7" s="7" t="s">
        <v>44</v>
      </c>
      <c r="J7" s="7" t="s">
        <v>45</v>
      </c>
      <c r="K7" s="7" t="s">
        <v>46</v>
      </c>
      <c r="L7" s="7" t="n">
        <v>0</v>
      </c>
      <c r="M7" s="7" t="s">
        <v>47</v>
      </c>
      <c r="N7" s="6"/>
    </row>
    <row r="8" customFormat="false" ht="23.85" hidden="false" customHeight="false" outlineLevel="0" collapsed="false">
      <c r="A8" s="4" t="s">
        <v>48</v>
      </c>
      <c r="B8" s="4" t="s">
        <v>49</v>
      </c>
      <c r="C8" s="4" t="s">
        <v>18</v>
      </c>
      <c r="D8" s="4" t="s">
        <v>19</v>
      </c>
      <c r="E8" s="4" t="s">
        <v>31</v>
      </c>
      <c r="F8" s="4" t="s">
        <v>50</v>
      </c>
      <c r="G8" s="5" t="s">
        <v>51</v>
      </c>
      <c r="H8" s="4" t="s">
        <v>52</v>
      </c>
      <c r="I8" s="4" t="s">
        <v>53</v>
      </c>
      <c r="J8" s="4" t="s">
        <v>54</v>
      </c>
      <c r="K8" s="4" t="s">
        <v>55</v>
      </c>
      <c r="L8" s="4" t="n">
        <v>2</v>
      </c>
      <c r="M8" s="4"/>
      <c r="N8" s="6"/>
    </row>
    <row r="9" customFormat="false" ht="23.85" hidden="false" customHeight="false" outlineLevel="0" collapsed="false">
      <c r="A9" s="4" t="s">
        <v>56</v>
      </c>
      <c r="B9" s="4" t="s">
        <v>57</v>
      </c>
      <c r="C9" s="4" t="s">
        <v>18</v>
      </c>
      <c r="D9" s="4" t="s">
        <v>19</v>
      </c>
      <c r="E9" s="4" t="s">
        <v>31</v>
      </c>
      <c r="F9" s="4" t="s">
        <v>58</v>
      </c>
      <c r="G9" s="5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n">
        <v>1</v>
      </c>
      <c r="M9" s="4"/>
      <c r="N9" s="6"/>
    </row>
    <row r="10" customFormat="false" ht="23.85" hidden="false" customHeight="false" outlineLevel="0" collapsed="false">
      <c r="A10" s="7" t="s">
        <v>64</v>
      </c>
      <c r="B10" s="7" t="s">
        <v>65</v>
      </c>
      <c r="C10" s="7" t="s">
        <v>29</v>
      </c>
      <c r="D10" s="7" t="s">
        <v>30</v>
      </c>
      <c r="E10" s="7" t="s">
        <v>31</v>
      </c>
      <c r="F10" s="7" t="s">
        <v>66</v>
      </c>
      <c r="G10" s="8" t="s">
        <v>67</v>
      </c>
      <c r="H10" s="7" t="s">
        <v>43</v>
      </c>
      <c r="I10" s="7" t="s">
        <v>68</v>
      </c>
      <c r="J10" s="7" t="s">
        <v>69</v>
      </c>
      <c r="K10" s="7" t="s">
        <v>46</v>
      </c>
      <c r="L10" s="7" t="n">
        <v>0</v>
      </c>
      <c r="M10" s="7" t="s">
        <v>38</v>
      </c>
      <c r="N10" s="6"/>
    </row>
    <row r="11" customFormat="false" ht="15" hidden="false" customHeight="false" outlineLevel="0" collapsed="false">
      <c r="A11" s="7" t="s">
        <v>70</v>
      </c>
      <c r="B11" s="7" t="s">
        <v>71</v>
      </c>
      <c r="C11" s="7" t="s">
        <v>29</v>
      </c>
      <c r="D11" s="7" t="s">
        <v>30</v>
      </c>
      <c r="E11" s="7" t="s">
        <v>20</v>
      </c>
      <c r="F11" s="7" t="s">
        <v>72</v>
      </c>
      <c r="G11" s="8" t="s">
        <v>73</v>
      </c>
      <c r="H11" s="7" t="s">
        <v>74</v>
      </c>
      <c r="I11" s="7" t="s">
        <v>75</v>
      </c>
      <c r="J11" s="7" t="s">
        <v>76</v>
      </c>
      <c r="K11" s="7" t="s">
        <v>77</v>
      </c>
      <c r="L11" s="7" t="n">
        <v>0</v>
      </c>
      <c r="M11" s="7" t="s">
        <v>38</v>
      </c>
      <c r="N11" s="6"/>
    </row>
    <row r="12" customFormat="false" ht="23.85" hidden="false" customHeight="false" outlineLevel="0" collapsed="false">
      <c r="A12" s="7" t="s">
        <v>78</v>
      </c>
      <c r="B12" s="7" t="s">
        <v>79</v>
      </c>
      <c r="C12" s="7" t="s">
        <v>29</v>
      </c>
      <c r="D12" s="7" t="s">
        <v>30</v>
      </c>
      <c r="E12" s="7" t="s">
        <v>31</v>
      </c>
      <c r="F12" s="7" t="s">
        <v>80</v>
      </c>
      <c r="G12" s="8" t="s">
        <v>81</v>
      </c>
      <c r="H12" s="7" t="s">
        <v>43</v>
      </c>
      <c r="I12" s="7" t="s">
        <v>82</v>
      </c>
      <c r="J12" s="7" t="s">
        <v>83</v>
      </c>
      <c r="K12" s="7" t="s">
        <v>84</v>
      </c>
      <c r="L12" s="7" t="n">
        <v>0</v>
      </c>
      <c r="M12" s="7" t="s">
        <v>85</v>
      </c>
      <c r="N12" s="6"/>
    </row>
    <row r="13" customFormat="false" ht="15" hidden="false" customHeight="false" outlineLevel="0" collapsed="false">
      <c r="A13" s="4" t="s">
        <v>86</v>
      </c>
      <c r="B13" s="4" t="s">
        <v>87</v>
      </c>
      <c r="C13" s="4" t="s">
        <v>18</v>
      </c>
      <c r="D13" s="4" t="s">
        <v>19</v>
      </c>
      <c r="E13" s="4" t="s">
        <v>20</v>
      </c>
      <c r="F13" s="4" t="s">
        <v>88</v>
      </c>
      <c r="G13" s="5" t="s">
        <v>89</v>
      </c>
      <c r="H13" s="4" t="s">
        <v>90</v>
      </c>
      <c r="I13" s="4" t="s">
        <v>91</v>
      </c>
      <c r="J13" s="4" t="s">
        <v>92</v>
      </c>
      <c r="K13" s="4" t="s">
        <v>93</v>
      </c>
      <c r="L13" s="4" t="n">
        <v>3</v>
      </c>
      <c r="M13" s="4"/>
      <c r="N13" s="6"/>
    </row>
    <row r="14" customFormat="false" ht="23.85" hidden="false" customHeight="false" outlineLevel="0" collapsed="false">
      <c r="A14" s="4" t="s">
        <v>94</v>
      </c>
      <c r="B14" s="4" t="s">
        <v>95</v>
      </c>
      <c r="C14" s="4" t="s">
        <v>96</v>
      </c>
      <c r="D14" s="4" t="s">
        <v>19</v>
      </c>
      <c r="E14" s="4" t="s">
        <v>31</v>
      </c>
      <c r="F14" s="4" t="s">
        <v>97</v>
      </c>
      <c r="G14" s="5" t="s">
        <v>98</v>
      </c>
      <c r="H14" s="4" t="s">
        <v>99</v>
      </c>
      <c r="I14" s="4" t="s">
        <v>100</v>
      </c>
      <c r="J14" s="4" t="s">
        <v>101</v>
      </c>
      <c r="K14" s="4" t="s">
        <v>102</v>
      </c>
      <c r="L14" s="4" t="n">
        <v>4</v>
      </c>
      <c r="M14" s="4"/>
      <c r="N14" s="6"/>
    </row>
    <row r="15" customFormat="false" ht="23.85" hidden="false" customHeight="false" outlineLevel="0" collapsed="false">
      <c r="A15" s="7" t="s">
        <v>103</v>
      </c>
      <c r="B15" s="7" t="s">
        <v>104</v>
      </c>
      <c r="C15" s="7" t="s">
        <v>29</v>
      </c>
      <c r="D15" s="7" t="s">
        <v>30</v>
      </c>
      <c r="E15" s="7" t="s">
        <v>20</v>
      </c>
      <c r="F15" s="7" t="s">
        <v>105</v>
      </c>
      <c r="G15" s="8" t="s">
        <v>106</v>
      </c>
      <c r="H15" s="7" t="s">
        <v>43</v>
      </c>
      <c r="I15" s="7" t="s">
        <v>107</v>
      </c>
      <c r="J15" s="7" t="s">
        <v>108</v>
      </c>
      <c r="K15" s="7" t="s">
        <v>109</v>
      </c>
      <c r="L15" s="7" t="n">
        <v>0</v>
      </c>
      <c r="M15" s="7" t="s">
        <v>110</v>
      </c>
      <c r="N15" s="6"/>
    </row>
    <row r="16" customFormat="false" ht="23.85" hidden="false" customHeight="false" outlineLevel="0" collapsed="false">
      <c r="A16" s="4" t="s">
        <v>111</v>
      </c>
      <c r="B16" s="4" t="s">
        <v>112</v>
      </c>
      <c r="C16" s="4" t="s">
        <v>96</v>
      </c>
      <c r="D16" s="4" t="s">
        <v>19</v>
      </c>
      <c r="E16" s="4" t="s">
        <v>20</v>
      </c>
      <c r="F16" s="4" t="s">
        <v>72</v>
      </c>
      <c r="G16" s="5" t="s">
        <v>113</v>
      </c>
      <c r="H16" s="4" t="s">
        <v>114</v>
      </c>
      <c r="I16" s="4" t="s">
        <v>115</v>
      </c>
      <c r="J16" s="4" t="s">
        <v>116</v>
      </c>
      <c r="K16" s="4" t="s">
        <v>117</v>
      </c>
      <c r="L16" s="4" t="n">
        <v>3</v>
      </c>
      <c r="M16" s="4"/>
      <c r="N16" s="6"/>
    </row>
    <row r="17" customFormat="false" ht="23.85" hidden="false" customHeight="false" outlineLevel="0" collapsed="false">
      <c r="A17" s="4" t="s">
        <v>118</v>
      </c>
      <c r="B17" s="4" t="s">
        <v>119</v>
      </c>
      <c r="C17" s="4" t="s">
        <v>18</v>
      </c>
      <c r="D17" s="4" t="s">
        <v>19</v>
      </c>
      <c r="E17" s="4" t="s">
        <v>31</v>
      </c>
      <c r="F17" s="4" t="s">
        <v>120</v>
      </c>
      <c r="G17" s="5" t="s">
        <v>121</v>
      </c>
      <c r="H17" s="4" t="s">
        <v>122</v>
      </c>
      <c r="I17" s="4" t="s">
        <v>123</v>
      </c>
      <c r="J17" s="4" t="s">
        <v>124</v>
      </c>
      <c r="K17" s="4" t="s">
        <v>125</v>
      </c>
      <c r="L17" s="4" t="n">
        <v>3</v>
      </c>
      <c r="M17" s="4"/>
      <c r="N17" s="6"/>
    </row>
    <row r="18" customFormat="false" ht="23.85" hidden="false" customHeight="false" outlineLevel="0" collapsed="false">
      <c r="A18" s="4" t="s">
        <v>126</v>
      </c>
      <c r="B18" s="4" t="s">
        <v>127</v>
      </c>
      <c r="C18" s="4" t="s">
        <v>96</v>
      </c>
      <c r="D18" s="4" t="s">
        <v>19</v>
      </c>
      <c r="E18" s="4" t="s">
        <v>31</v>
      </c>
      <c r="F18" s="4" t="s">
        <v>128</v>
      </c>
      <c r="G18" s="5" t="s">
        <v>129</v>
      </c>
      <c r="H18" s="4" t="s">
        <v>130</v>
      </c>
      <c r="I18" s="4" t="s">
        <v>131</v>
      </c>
      <c r="J18" s="4" t="s">
        <v>132</v>
      </c>
      <c r="K18" s="4"/>
      <c r="L18" s="4" t="n">
        <v>2</v>
      </c>
      <c r="M18" s="4"/>
      <c r="N18" s="6"/>
    </row>
    <row r="19" customFormat="false" ht="23.85" hidden="false" customHeight="false" outlineLevel="0" collapsed="false">
      <c r="A19" s="7" t="s">
        <v>133</v>
      </c>
      <c r="B19" s="7" t="s">
        <v>134</v>
      </c>
      <c r="C19" s="7" t="s">
        <v>29</v>
      </c>
      <c r="D19" s="7" t="s">
        <v>30</v>
      </c>
      <c r="E19" s="7" t="s">
        <v>20</v>
      </c>
      <c r="F19" s="7" t="s">
        <v>135</v>
      </c>
      <c r="G19" s="8" t="s">
        <v>136</v>
      </c>
      <c r="H19" s="7" t="s">
        <v>43</v>
      </c>
      <c r="I19" s="7" t="s">
        <v>137</v>
      </c>
      <c r="J19" s="7" t="s">
        <v>138</v>
      </c>
      <c r="K19" s="7" t="s">
        <v>139</v>
      </c>
      <c r="L19" s="7" t="n">
        <v>0</v>
      </c>
      <c r="M19" s="7" t="s">
        <v>85</v>
      </c>
      <c r="N19" s="6"/>
    </row>
    <row r="20" customFormat="false" ht="23.85" hidden="false" customHeight="false" outlineLevel="0" collapsed="false">
      <c r="A20" s="7" t="s">
        <v>140</v>
      </c>
      <c r="B20" s="7" t="s">
        <v>141</v>
      </c>
      <c r="C20" s="7" t="s">
        <v>29</v>
      </c>
      <c r="D20" s="7" t="s">
        <v>30</v>
      </c>
      <c r="E20" s="7" t="s">
        <v>20</v>
      </c>
      <c r="F20" s="7" t="s">
        <v>142</v>
      </c>
      <c r="G20" s="8" t="s">
        <v>143</v>
      </c>
      <c r="H20" s="7" t="s">
        <v>43</v>
      </c>
      <c r="I20" s="7" t="s">
        <v>144</v>
      </c>
      <c r="J20" s="7" t="s">
        <v>145</v>
      </c>
      <c r="K20" s="7" t="s">
        <v>146</v>
      </c>
      <c r="L20" s="7" t="n">
        <v>0</v>
      </c>
      <c r="M20" s="7" t="s">
        <v>110</v>
      </c>
      <c r="N20" s="6"/>
    </row>
    <row r="21" customFormat="false" ht="23.85" hidden="false" customHeight="false" outlineLevel="0" collapsed="false">
      <c r="A21" s="4" t="s">
        <v>147</v>
      </c>
      <c r="B21" s="4" t="s">
        <v>148</v>
      </c>
      <c r="C21" s="4" t="s">
        <v>96</v>
      </c>
      <c r="D21" s="4" t="s">
        <v>19</v>
      </c>
      <c r="E21" s="4" t="s">
        <v>31</v>
      </c>
      <c r="F21" s="4" t="s">
        <v>149</v>
      </c>
      <c r="G21" s="5" t="s">
        <v>150</v>
      </c>
      <c r="H21" s="4" t="s">
        <v>151</v>
      </c>
      <c r="I21" s="4" t="s">
        <v>152</v>
      </c>
      <c r="J21" s="4" t="s">
        <v>153</v>
      </c>
      <c r="K21" s="4"/>
      <c r="L21" s="4" t="n">
        <v>3</v>
      </c>
      <c r="M21" s="4"/>
      <c r="N21" s="6"/>
    </row>
    <row r="22" customFormat="false" ht="15" hidden="false" customHeight="false" outlineLevel="0" collapsed="false">
      <c r="A22" s="4" t="s">
        <v>154</v>
      </c>
      <c r="B22" s="4" t="s">
        <v>155</v>
      </c>
      <c r="C22" s="4" t="s">
        <v>18</v>
      </c>
      <c r="D22" s="4" t="s">
        <v>19</v>
      </c>
      <c r="E22" s="4" t="s">
        <v>31</v>
      </c>
      <c r="F22" s="4" t="s">
        <v>156</v>
      </c>
      <c r="G22" s="5" t="s">
        <v>157</v>
      </c>
      <c r="H22" s="4" t="s">
        <v>158</v>
      </c>
      <c r="I22" s="4" t="s">
        <v>159</v>
      </c>
      <c r="J22" s="4" t="s">
        <v>160</v>
      </c>
      <c r="K22" s="4" t="s">
        <v>161</v>
      </c>
      <c r="L22" s="4" t="n">
        <v>3</v>
      </c>
      <c r="M22" s="4"/>
      <c r="N22" s="6"/>
    </row>
    <row r="23" customFormat="false" ht="23.85" hidden="false" customHeight="false" outlineLevel="0" collapsed="false">
      <c r="A23" s="4" t="s">
        <v>162</v>
      </c>
      <c r="B23" s="4" t="s">
        <v>163</v>
      </c>
      <c r="C23" s="4" t="s">
        <v>96</v>
      </c>
      <c r="D23" s="4" t="s">
        <v>19</v>
      </c>
      <c r="E23" s="4" t="s">
        <v>31</v>
      </c>
      <c r="F23" s="4" t="s">
        <v>164</v>
      </c>
      <c r="G23" s="5" t="s">
        <v>165</v>
      </c>
      <c r="H23" s="4" t="s">
        <v>166</v>
      </c>
      <c r="I23" s="4" t="s">
        <v>167</v>
      </c>
      <c r="J23" s="4" t="s">
        <v>168</v>
      </c>
      <c r="K23" s="4"/>
      <c r="L23" s="4" t="n">
        <v>3</v>
      </c>
      <c r="M23" s="4"/>
      <c r="N23" s="6"/>
    </row>
    <row r="24" customFormat="false" ht="15" hidden="false" customHeight="false" outlineLevel="0" collapsed="false">
      <c r="A24" s="4" t="s">
        <v>169</v>
      </c>
      <c r="B24" s="4" t="s">
        <v>170</v>
      </c>
      <c r="C24" s="4" t="s">
        <v>96</v>
      </c>
      <c r="D24" s="4" t="s">
        <v>19</v>
      </c>
      <c r="E24" s="4" t="s">
        <v>31</v>
      </c>
      <c r="F24" s="4" t="s">
        <v>171</v>
      </c>
      <c r="G24" s="5" t="s">
        <v>172</v>
      </c>
      <c r="H24" s="4" t="s">
        <v>173</v>
      </c>
      <c r="I24" s="4" t="s">
        <v>174</v>
      </c>
      <c r="J24" s="4" t="s">
        <v>175</v>
      </c>
      <c r="K24" s="4" t="s">
        <v>176</v>
      </c>
      <c r="L24" s="4" t="n">
        <v>3</v>
      </c>
      <c r="M24" s="4"/>
      <c r="N24" s="6"/>
    </row>
  </sheetData>
  <autoFilter ref="A4:N24"/>
  <hyperlinks>
    <hyperlink ref="G5" r:id="rId1" display="https://www.inoxytech.be"/>
    <hyperlink ref="G6" r:id="rId2" display="https://www.ateliers-meurice.be"/>
    <hyperlink ref="G7" r:id="rId3" display="https://www.chaudronnerie-webber.be"/>
    <hyperlink ref="G8" r:id="rId4" display="https://www.bmc-inox.fr"/>
    <hyperlink ref="G9" r:id="rId5" display="https://adcl-industries.fr"/>
    <hyperlink ref="G10" r:id="rId6" display="https://www.kairos-hdf.com"/>
    <hyperlink ref="G11" r:id="rId7" display="https://www.idp-shipyard.be"/>
    <hyperlink ref="G12" r:id="rId8" display="https://conceptinox.be"/>
    <hyperlink ref="G13" r:id="rId9" display="https://www.vanthuynenv.be"/>
    <hyperlink ref="G14" r:id="rId10" display="https://www.melensdejardin.be"/>
    <hyperlink ref="G15" r:id="rId11" display="https://www.moker.be"/>
    <hyperlink ref="G16" r:id="rId12" display="https://www.metaalcomfort.be"/>
    <hyperlink ref="G17" r:id="rId13" display="https://www.prosoudure.be"/>
    <hyperlink ref="G18" r:id="rId14" display="https://www.mvsoudure.be"/>
    <hyperlink ref="G19" r:id="rId15" display="https://www.madeininox.be"/>
    <hyperlink ref="G20" r:id="rId16" display="https://tecnoart.be"/>
    <hyperlink ref="G21" r:id="rId17" display="https://atelierdegueldre.be"/>
    <hyperlink ref="G22" r:id="rId18" display="https://www.lucmartinsoudure.be"/>
    <hyperlink ref="G23" r:id="rId19" display="https://manufacture-metal.fr"/>
    <hyperlink ref="G24" r:id="rId20" display="https://dartdesign.f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40"/>
    <col collapsed="false" customWidth="true" hidden="false" outlineLevel="0" max="13" min="13" style="0" width="10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6</v>
      </c>
      <c r="E4" s="3" t="s">
        <v>179</v>
      </c>
      <c r="F4" s="3" t="s">
        <v>180</v>
      </c>
      <c r="G4" s="3" t="s">
        <v>181</v>
      </c>
      <c r="H4" s="3" t="s">
        <v>182</v>
      </c>
      <c r="I4" s="3" t="s">
        <v>183</v>
      </c>
      <c r="J4" s="3" t="s">
        <v>184</v>
      </c>
      <c r="K4" s="3" t="s">
        <v>185</v>
      </c>
      <c r="L4" s="3" t="s">
        <v>186</v>
      </c>
      <c r="M4" s="3" t="s">
        <v>187</v>
      </c>
      <c r="N4" s="3" t="s">
        <v>188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20</v>
      </c>
      <c r="E5" s="9" t="s">
        <v>23</v>
      </c>
      <c r="F5" s="10"/>
      <c r="G5" s="11" t="str">
        <f aca="false">IF(F5="","",F5+10)</f>
        <v/>
      </c>
      <c r="H5" s="10"/>
      <c r="I5" s="12"/>
      <c r="J5" s="9"/>
      <c r="K5" s="9" t="s">
        <v>189</v>
      </c>
      <c r="L5" s="9"/>
      <c r="M5" s="4" t="s">
        <v>190</v>
      </c>
      <c r="N5" s="9"/>
    </row>
    <row r="6" customFormat="false" ht="15" hidden="false" customHeight="false" outlineLevel="0" collapsed="false">
      <c r="A6" s="4" t="s">
        <v>48</v>
      </c>
      <c r="B6" s="4" t="s">
        <v>49</v>
      </c>
      <c r="C6" s="4" t="s">
        <v>18</v>
      </c>
      <c r="D6" s="4" t="s">
        <v>31</v>
      </c>
      <c r="E6" s="9" t="s">
        <v>52</v>
      </c>
      <c r="F6" s="10"/>
      <c r="G6" s="11" t="str">
        <f aca="false">IF(F6="","",F6+10)</f>
        <v/>
      </c>
      <c r="H6" s="10"/>
      <c r="I6" s="12"/>
      <c r="J6" s="9"/>
      <c r="K6" s="9" t="s">
        <v>189</v>
      </c>
      <c r="L6" s="9"/>
      <c r="M6" s="4" t="s">
        <v>191</v>
      </c>
      <c r="N6" s="9"/>
    </row>
    <row r="7" customFormat="false" ht="15" hidden="false" customHeight="false" outlineLevel="0" collapsed="false">
      <c r="A7" s="4" t="s">
        <v>56</v>
      </c>
      <c r="B7" s="4" t="s">
        <v>57</v>
      </c>
      <c r="C7" s="4" t="s">
        <v>18</v>
      </c>
      <c r="D7" s="4" t="s">
        <v>31</v>
      </c>
      <c r="E7" s="9" t="s">
        <v>60</v>
      </c>
      <c r="F7" s="10"/>
      <c r="G7" s="11" t="str">
        <f aca="false">IF(F7="","",F7+10)</f>
        <v/>
      </c>
      <c r="H7" s="10"/>
      <c r="I7" s="12"/>
      <c r="J7" s="9"/>
      <c r="K7" s="9" t="s">
        <v>189</v>
      </c>
      <c r="L7" s="9"/>
      <c r="M7" s="4" t="s">
        <v>192</v>
      </c>
      <c r="N7" s="9"/>
    </row>
    <row r="8" customFormat="false" ht="15" hidden="false" customHeight="false" outlineLevel="0" collapsed="false">
      <c r="A8" s="4" t="s">
        <v>86</v>
      </c>
      <c r="B8" s="4" t="s">
        <v>87</v>
      </c>
      <c r="C8" s="4" t="s">
        <v>18</v>
      </c>
      <c r="D8" s="4" t="s">
        <v>20</v>
      </c>
      <c r="E8" s="9" t="s">
        <v>90</v>
      </c>
      <c r="F8" s="10"/>
      <c r="G8" s="11" t="str">
        <f aca="false">IF(F8="","",F8+10)</f>
        <v/>
      </c>
      <c r="H8" s="10"/>
      <c r="I8" s="12"/>
      <c r="J8" s="9"/>
      <c r="K8" s="9" t="s">
        <v>189</v>
      </c>
      <c r="L8" s="9"/>
      <c r="M8" s="4" t="s">
        <v>193</v>
      </c>
      <c r="N8" s="9"/>
    </row>
    <row r="9" customFormat="false" ht="23.85" hidden="false" customHeight="false" outlineLevel="0" collapsed="false">
      <c r="A9" s="4" t="s">
        <v>94</v>
      </c>
      <c r="B9" s="4" t="s">
        <v>95</v>
      </c>
      <c r="C9" s="4" t="s">
        <v>96</v>
      </c>
      <c r="D9" s="4" t="s">
        <v>31</v>
      </c>
      <c r="E9" s="9" t="s">
        <v>99</v>
      </c>
      <c r="F9" s="10" t="n">
        <v>46294</v>
      </c>
      <c r="G9" s="11" t="n">
        <f aca="false">IF(F9="","",F9+10)</f>
        <v>46304</v>
      </c>
      <c r="H9" s="10"/>
      <c r="I9" s="12"/>
      <c r="J9" s="9"/>
      <c r="K9" s="9" t="s">
        <v>194</v>
      </c>
      <c r="L9" s="9" t="s">
        <v>195</v>
      </c>
      <c r="M9" s="4" t="s">
        <v>196</v>
      </c>
      <c r="N9" s="9"/>
    </row>
    <row r="10" customFormat="false" ht="15" hidden="false" customHeight="false" outlineLevel="0" collapsed="false">
      <c r="A10" s="4" t="s">
        <v>111</v>
      </c>
      <c r="B10" s="4" t="s">
        <v>112</v>
      </c>
      <c r="C10" s="4" t="s">
        <v>96</v>
      </c>
      <c r="D10" s="4" t="s">
        <v>20</v>
      </c>
      <c r="E10" s="9" t="s">
        <v>114</v>
      </c>
      <c r="F10" s="10"/>
      <c r="G10" s="11" t="str">
        <f aca="false">IF(F10="","",F10+10)</f>
        <v/>
      </c>
      <c r="H10" s="10"/>
      <c r="I10" s="12"/>
      <c r="J10" s="9"/>
      <c r="K10" s="9" t="s">
        <v>189</v>
      </c>
      <c r="L10" s="9"/>
      <c r="M10" s="4" t="s">
        <v>197</v>
      </c>
      <c r="N10" s="9"/>
    </row>
    <row r="11" customFormat="false" ht="15" hidden="false" customHeight="false" outlineLevel="0" collapsed="false">
      <c r="A11" s="4" t="s">
        <v>118</v>
      </c>
      <c r="B11" s="4" t="s">
        <v>119</v>
      </c>
      <c r="C11" s="4" t="s">
        <v>18</v>
      </c>
      <c r="D11" s="4" t="s">
        <v>31</v>
      </c>
      <c r="E11" s="9" t="s">
        <v>122</v>
      </c>
      <c r="F11" s="10"/>
      <c r="G11" s="11" t="str">
        <f aca="false">IF(F11="","",F11+10)</f>
        <v/>
      </c>
      <c r="H11" s="10"/>
      <c r="I11" s="12"/>
      <c r="J11" s="9"/>
      <c r="K11" s="9" t="s">
        <v>189</v>
      </c>
      <c r="L11" s="9"/>
      <c r="M11" s="4" t="s">
        <v>198</v>
      </c>
      <c r="N11" s="9"/>
    </row>
    <row r="12" customFormat="false" ht="15" hidden="false" customHeight="false" outlineLevel="0" collapsed="false">
      <c r="A12" s="4" t="s">
        <v>126</v>
      </c>
      <c r="B12" s="4" t="s">
        <v>127</v>
      </c>
      <c r="C12" s="4" t="s">
        <v>96</v>
      </c>
      <c r="D12" s="4" t="s">
        <v>31</v>
      </c>
      <c r="E12" s="9" t="s">
        <v>130</v>
      </c>
      <c r="F12" s="10"/>
      <c r="G12" s="11" t="str">
        <f aca="false">IF(F12="","",F12+10)</f>
        <v/>
      </c>
      <c r="H12" s="10"/>
      <c r="I12" s="12"/>
      <c r="J12" s="9"/>
      <c r="K12" s="9" t="s">
        <v>189</v>
      </c>
      <c r="L12" s="9"/>
      <c r="M12" s="4" t="s">
        <v>199</v>
      </c>
      <c r="N12" s="9"/>
    </row>
    <row r="13" customFormat="false" ht="23.85" hidden="false" customHeight="false" outlineLevel="0" collapsed="false">
      <c r="A13" s="4" t="s">
        <v>147</v>
      </c>
      <c r="B13" s="4" t="s">
        <v>148</v>
      </c>
      <c r="C13" s="4" t="s">
        <v>96</v>
      </c>
      <c r="D13" s="4" t="s">
        <v>31</v>
      </c>
      <c r="E13" s="9" t="s">
        <v>151</v>
      </c>
      <c r="F13" s="10"/>
      <c r="G13" s="11" t="str">
        <f aca="false">IF(F13="","",F13+10)</f>
        <v/>
      </c>
      <c r="H13" s="10"/>
      <c r="I13" s="12"/>
      <c r="J13" s="9"/>
      <c r="K13" s="9" t="s">
        <v>189</v>
      </c>
      <c r="L13" s="9"/>
      <c r="M13" s="4" t="s">
        <v>200</v>
      </c>
      <c r="N13" s="9"/>
    </row>
    <row r="14" customFormat="false" ht="15" hidden="false" customHeight="false" outlineLevel="0" collapsed="false">
      <c r="A14" s="4" t="s">
        <v>154</v>
      </c>
      <c r="B14" s="4" t="s">
        <v>155</v>
      </c>
      <c r="C14" s="4" t="s">
        <v>18</v>
      </c>
      <c r="D14" s="4" t="s">
        <v>31</v>
      </c>
      <c r="E14" s="9" t="s">
        <v>158</v>
      </c>
      <c r="F14" s="10"/>
      <c r="G14" s="11" t="str">
        <f aca="false">IF(F14="","",F14+10)</f>
        <v/>
      </c>
      <c r="H14" s="10"/>
      <c r="I14" s="12"/>
      <c r="J14" s="9"/>
      <c r="K14" s="9" t="s">
        <v>189</v>
      </c>
      <c r="L14" s="9"/>
      <c r="M14" s="4" t="s">
        <v>201</v>
      </c>
      <c r="N14" s="9"/>
    </row>
    <row r="15" customFormat="false" ht="15" hidden="false" customHeight="false" outlineLevel="0" collapsed="false">
      <c r="A15" s="4" t="s">
        <v>162</v>
      </c>
      <c r="B15" s="4" t="s">
        <v>163</v>
      </c>
      <c r="C15" s="4" t="s">
        <v>96</v>
      </c>
      <c r="D15" s="4" t="s">
        <v>31</v>
      </c>
      <c r="E15" s="9" t="s">
        <v>166</v>
      </c>
      <c r="F15" s="10"/>
      <c r="G15" s="11" t="str">
        <f aca="false">IF(F15="","",F15+10)</f>
        <v/>
      </c>
      <c r="H15" s="10"/>
      <c r="I15" s="12"/>
      <c r="J15" s="9"/>
      <c r="K15" s="9" t="s">
        <v>189</v>
      </c>
      <c r="L15" s="9"/>
      <c r="M15" s="4" t="s">
        <v>202</v>
      </c>
      <c r="N15" s="9"/>
    </row>
    <row r="16" customFormat="false" ht="15" hidden="false" customHeight="false" outlineLevel="0" collapsed="false">
      <c r="A16" s="4" t="s">
        <v>169</v>
      </c>
      <c r="B16" s="4" t="s">
        <v>170</v>
      </c>
      <c r="C16" s="4" t="s">
        <v>96</v>
      </c>
      <c r="D16" s="4" t="s">
        <v>31</v>
      </c>
      <c r="E16" s="9" t="s">
        <v>173</v>
      </c>
      <c r="F16" s="10"/>
      <c r="G16" s="11" t="str">
        <f aca="false">IF(F16="","",F16+10)</f>
        <v/>
      </c>
      <c r="H16" s="10"/>
      <c r="I16" s="12"/>
      <c r="J16" s="9"/>
      <c r="K16" s="9" t="s">
        <v>189</v>
      </c>
      <c r="L16" s="9"/>
      <c r="M16" s="4" t="s">
        <v>203</v>
      </c>
      <c r="N16" s="9"/>
    </row>
    <row r="18" customFormat="false" ht="15" hidden="false" customHeight="false" outlineLevel="0" collapsed="false">
      <c r="B18" s="13" t="s">
        <v>204</v>
      </c>
      <c r="F18" s="13" t="n">
        <f aca="false">COUNTA(F5:F16)</f>
        <v>1</v>
      </c>
    </row>
    <row r="19" customFormat="false" ht="15" hidden="false" customHeight="false" outlineLevel="0" collapsed="false">
      <c r="B19" s="13" t="s">
        <v>205</v>
      </c>
      <c r="F19" s="13" t="n">
        <f aca="false">COUNT(I5:I16)</f>
        <v>0</v>
      </c>
    </row>
    <row r="20" customFormat="false" ht="15" hidden="false" customHeight="false" outlineLevel="0" collapsed="false">
      <c r="B20" s="13" t="s">
        <v>206</v>
      </c>
      <c r="F20" s="13" t="n">
        <f aca="true">SUMPRODUCT((G5:G16&lt;&gt;"")*(G5:G16&lt;=TODAY())*(H5:H16=""))</f>
        <v>0</v>
      </c>
    </row>
  </sheetData>
  <dataValidations count="1">
    <dataValidation allowBlank="true" errorStyle="stop" operator="between" showDropDown="false" showErrorMessage="false" showInputMessage="false" sqref="K5:K16" type="list">
      <formula1>"à envoyer,envoyé,relancé,offre reçue,décliné,retenu,écarté"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10" min="7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183</v>
      </c>
      <c r="E4" s="3" t="s">
        <v>209</v>
      </c>
      <c r="F4" s="3" t="s">
        <v>210</v>
      </c>
      <c r="G4" s="3" t="s">
        <v>211</v>
      </c>
      <c r="H4" s="3" t="s">
        <v>212</v>
      </c>
      <c r="I4" s="3" t="s">
        <v>213</v>
      </c>
      <c r="J4" s="3" t="s">
        <v>214</v>
      </c>
      <c r="K4" s="3" t="s">
        <v>215</v>
      </c>
      <c r="L4" s="3" t="s">
        <v>216</v>
      </c>
      <c r="M4" s="3" t="s">
        <v>217</v>
      </c>
      <c r="N4" s="3" t="s">
        <v>218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14" t="str">
        <f aca="false">IFERROR(IF(INDEX(Suivi!$I$5:$I$16,MATCH(A5,Suivi!$A$5:$A$16,0))="","",INDEX(Suivi!$I$5:$I$16,MATCH(A5,Suivi!$A$5:$A$16,0))),"")</f>
        <v/>
      </c>
      <c r="E5" s="4" t="str">
        <f aca="false">IFERROR(IF(INDEX(Suivi!$J$5:$J$16,MATCH(A5,Suivi!$A$5:$A$16,0))="","",INDEX(Suivi!$J$5:$J$16,MATCH(A5,Suivi!$A$5:$A$16,0))),"")</f>
        <v/>
      </c>
      <c r="F5" s="14" t="str">
        <f aca="false">IF(D5="","",D5-SUMPRODUCT(MIN(($C$5:$C$16=C5)*($D$5:$D$16&lt;&gt;"")*$D$5:$D$16+(($C$5:$C$16&lt;&gt;C5)+($D$5:$D$16=""))*9E+099)))</f>
        <v/>
      </c>
      <c r="G5" s="9"/>
      <c r="H5" s="9"/>
      <c r="I5" s="9"/>
      <c r="J5" s="9"/>
      <c r="K5" s="9"/>
      <c r="L5" s="9"/>
      <c r="M5" s="9"/>
      <c r="N5" s="9"/>
    </row>
    <row r="6" customFormat="false" ht="15" hidden="false" customHeight="false" outlineLevel="0" collapsed="false">
      <c r="A6" s="4" t="s">
        <v>48</v>
      </c>
      <c r="B6" s="4" t="s">
        <v>49</v>
      </c>
      <c r="C6" s="4" t="s">
        <v>18</v>
      </c>
      <c r="D6" s="14" t="str">
        <f aca="false">IFERROR(IF(INDEX(Suivi!$I$5:$I$16,MATCH(A6,Suivi!$A$5:$A$16,0))="","",INDEX(Suivi!$I$5:$I$16,MATCH(A6,Suivi!$A$5:$A$16,0))),"")</f>
        <v/>
      </c>
      <c r="E6" s="4" t="str">
        <f aca="false">IFERROR(IF(INDEX(Suivi!$J$5:$J$16,MATCH(A6,Suivi!$A$5:$A$16,0))="","",INDEX(Suivi!$J$5:$J$16,MATCH(A6,Suivi!$A$5:$A$16,0))),"")</f>
        <v/>
      </c>
      <c r="F6" s="14" t="str">
        <f aca="false">IF(D6="","",D6-SUMPRODUCT(MIN(($C$5:$C$16=C6)*($D$5:$D$16&lt;&gt;"")*$D$5:$D$16+(($C$5:$C$16&lt;&gt;C6)+($D$5:$D$16=""))*9E+099)))</f>
        <v/>
      </c>
      <c r="G6" s="9"/>
      <c r="H6" s="9"/>
      <c r="I6" s="9"/>
      <c r="J6" s="9"/>
      <c r="K6" s="9"/>
      <c r="L6" s="9"/>
      <c r="M6" s="9"/>
      <c r="N6" s="9"/>
    </row>
    <row r="7" customFormat="false" ht="15" hidden="false" customHeight="false" outlineLevel="0" collapsed="false">
      <c r="A7" s="4" t="s">
        <v>56</v>
      </c>
      <c r="B7" s="4" t="s">
        <v>57</v>
      </c>
      <c r="C7" s="4" t="s">
        <v>18</v>
      </c>
      <c r="D7" s="14" t="str">
        <f aca="false">IFERROR(IF(INDEX(Suivi!$I$5:$I$16,MATCH(A7,Suivi!$A$5:$A$16,0))="","",INDEX(Suivi!$I$5:$I$16,MATCH(A7,Suivi!$A$5:$A$16,0))),"")</f>
        <v/>
      </c>
      <c r="E7" s="4" t="str">
        <f aca="false">IFERROR(IF(INDEX(Suivi!$J$5:$J$16,MATCH(A7,Suivi!$A$5:$A$16,0))="","",INDEX(Suivi!$J$5:$J$16,MATCH(A7,Suivi!$A$5:$A$16,0))),"")</f>
        <v/>
      </c>
      <c r="F7" s="14" t="str">
        <f aca="false">IF(D7="","",D7-SUMPRODUCT(MIN(($C$5:$C$16=C7)*($D$5:$D$16&lt;&gt;"")*$D$5:$D$16+(($C$5:$C$16&lt;&gt;C7)+($D$5:$D$16=""))*9E+099)))</f>
        <v/>
      </c>
      <c r="G7" s="9"/>
      <c r="H7" s="9"/>
      <c r="I7" s="9"/>
      <c r="J7" s="9"/>
      <c r="K7" s="9"/>
      <c r="L7" s="9"/>
      <c r="M7" s="9"/>
      <c r="N7" s="9"/>
    </row>
    <row r="8" customFormat="false" ht="15" hidden="false" customHeight="false" outlineLevel="0" collapsed="false">
      <c r="A8" s="4" t="s">
        <v>86</v>
      </c>
      <c r="B8" s="4" t="s">
        <v>87</v>
      </c>
      <c r="C8" s="4" t="s">
        <v>18</v>
      </c>
      <c r="D8" s="14" t="str">
        <f aca="false">IFERROR(IF(INDEX(Suivi!$I$5:$I$16,MATCH(A8,Suivi!$A$5:$A$16,0))="","",INDEX(Suivi!$I$5:$I$16,MATCH(A8,Suivi!$A$5:$A$16,0))),"")</f>
        <v/>
      </c>
      <c r="E8" s="4" t="str">
        <f aca="false">IFERROR(IF(INDEX(Suivi!$J$5:$J$16,MATCH(A8,Suivi!$A$5:$A$16,0))="","",INDEX(Suivi!$J$5:$J$16,MATCH(A8,Suivi!$A$5:$A$16,0))),"")</f>
        <v/>
      </c>
      <c r="F8" s="14" t="str">
        <f aca="false">IF(D8="","",D8-SUMPRODUCT(MIN(($C$5:$C$16=C8)*($D$5:$D$16&lt;&gt;"")*$D$5:$D$16+(($C$5:$C$16&lt;&gt;C8)+($D$5:$D$16=""))*9E+099)))</f>
        <v/>
      </c>
      <c r="G8" s="9"/>
      <c r="H8" s="9"/>
      <c r="I8" s="9"/>
      <c r="J8" s="9"/>
      <c r="K8" s="9"/>
      <c r="L8" s="9"/>
      <c r="M8" s="9"/>
      <c r="N8" s="9"/>
    </row>
    <row r="9" customFormat="false" ht="15" hidden="false" customHeight="false" outlineLevel="0" collapsed="false">
      <c r="A9" s="4" t="s">
        <v>94</v>
      </c>
      <c r="B9" s="4" t="s">
        <v>95</v>
      </c>
      <c r="C9" s="4" t="s">
        <v>96</v>
      </c>
      <c r="D9" s="14" t="str">
        <f aca="false">IFERROR(IF(INDEX(Suivi!$I$5:$I$16,MATCH(A9,Suivi!$A$5:$A$16,0))="","",INDEX(Suivi!$I$5:$I$16,MATCH(A9,Suivi!$A$5:$A$16,0))),"")</f>
        <v/>
      </c>
      <c r="E9" s="4" t="str">
        <f aca="false">IFERROR(IF(INDEX(Suivi!$J$5:$J$16,MATCH(A9,Suivi!$A$5:$A$16,0))="","",INDEX(Suivi!$J$5:$J$16,MATCH(A9,Suivi!$A$5:$A$16,0))),"")</f>
        <v/>
      </c>
      <c r="F9" s="14" t="str">
        <f aca="false">IF(D9="","",D9-SUMPRODUCT(MIN(($C$5:$C$16=C9)*($D$5:$D$16&lt;&gt;"")*$D$5:$D$16+(($C$5:$C$16&lt;&gt;C9)+($D$5:$D$16=""))*9E+099)))</f>
        <v/>
      </c>
      <c r="G9" s="9"/>
      <c r="H9" s="9"/>
      <c r="I9" s="9"/>
      <c r="J9" s="9"/>
      <c r="K9" s="9"/>
      <c r="L9" s="9"/>
      <c r="M9" s="9"/>
      <c r="N9" s="9"/>
    </row>
    <row r="10" customFormat="false" ht="15" hidden="false" customHeight="false" outlineLevel="0" collapsed="false">
      <c r="A10" s="4" t="s">
        <v>111</v>
      </c>
      <c r="B10" s="4" t="s">
        <v>112</v>
      </c>
      <c r="C10" s="4" t="s">
        <v>96</v>
      </c>
      <c r="D10" s="14" t="str">
        <f aca="false">IFERROR(IF(INDEX(Suivi!$I$5:$I$16,MATCH(A10,Suivi!$A$5:$A$16,0))="","",INDEX(Suivi!$I$5:$I$16,MATCH(A10,Suivi!$A$5:$A$16,0))),"")</f>
        <v/>
      </c>
      <c r="E10" s="4" t="str">
        <f aca="false">IFERROR(IF(INDEX(Suivi!$J$5:$J$16,MATCH(A10,Suivi!$A$5:$A$16,0))="","",INDEX(Suivi!$J$5:$J$16,MATCH(A10,Suivi!$A$5:$A$16,0))),"")</f>
        <v/>
      </c>
      <c r="F10" s="14" t="str">
        <f aca="false">IF(D10="","",D10-SUMPRODUCT(MIN(($C$5:$C$16=C10)*($D$5:$D$16&lt;&gt;"")*$D$5:$D$16+(($C$5:$C$16&lt;&gt;C10)+($D$5:$D$16=""))*9E+099)))</f>
        <v/>
      </c>
      <c r="G10" s="9"/>
      <c r="H10" s="9"/>
      <c r="I10" s="9"/>
      <c r="J10" s="9"/>
      <c r="K10" s="9"/>
      <c r="L10" s="9"/>
      <c r="M10" s="9"/>
      <c r="N10" s="9"/>
    </row>
    <row r="11" customFormat="false" ht="15" hidden="false" customHeight="false" outlineLevel="0" collapsed="false">
      <c r="A11" s="4" t="s">
        <v>118</v>
      </c>
      <c r="B11" s="4" t="s">
        <v>119</v>
      </c>
      <c r="C11" s="4" t="s">
        <v>18</v>
      </c>
      <c r="D11" s="14" t="str">
        <f aca="false">IFERROR(IF(INDEX(Suivi!$I$5:$I$16,MATCH(A11,Suivi!$A$5:$A$16,0))="","",INDEX(Suivi!$I$5:$I$16,MATCH(A11,Suivi!$A$5:$A$16,0))),"")</f>
        <v/>
      </c>
      <c r="E11" s="4" t="str">
        <f aca="false">IFERROR(IF(INDEX(Suivi!$J$5:$J$16,MATCH(A11,Suivi!$A$5:$A$16,0))="","",INDEX(Suivi!$J$5:$J$16,MATCH(A11,Suivi!$A$5:$A$16,0))),"")</f>
        <v/>
      </c>
      <c r="F11" s="14" t="str">
        <f aca="false">IF(D11="","",D11-SUMPRODUCT(MIN(($C$5:$C$16=C11)*($D$5:$D$16&lt;&gt;"")*$D$5:$D$16+(($C$5:$C$16&lt;&gt;C11)+($D$5:$D$16=""))*9E+099)))</f>
        <v/>
      </c>
      <c r="G11" s="9"/>
      <c r="H11" s="9"/>
      <c r="I11" s="9"/>
      <c r="J11" s="9"/>
      <c r="K11" s="9"/>
      <c r="L11" s="9"/>
      <c r="M11" s="9"/>
      <c r="N11" s="9"/>
    </row>
    <row r="12" customFormat="false" ht="15" hidden="false" customHeight="false" outlineLevel="0" collapsed="false">
      <c r="A12" s="4" t="s">
        <v>126</v>
      </c>
      <c r="B12" s="4" t="s">
        <v>127</v>
      </c>
      <c r="C12" s="4" t="s">
        <v>96</v>
      </c>
      <c r="D12" s="14" t="str">
        <f aca="false">IFERROR(IF(INDEX(Suivi!$I$5:$I$16,MATCH(A12,Suivi!$A$5:$A$16,0))="","",INDEX(Suivi!$I$5:$I$16,MATCH(A12,Suivi!$A$5:$A$16,0))),"")</f>
        <v/>
      </c>
      <c r="E12" s="4" t="str">
        <f aca="false">IFERROR(IF(INDEX(Suivi!$J$5:$J$16,MATCH(A12,Suivi!$A$5:$A$16,0))="","",INDEX(Suivi!$J$5:$J$16,MATCH(A12,Suivi!$A$5:$A$16,0))),"")</f>
        <v/>
      </c>
      <c r="F12" s="14" t="str">
        <f aca="false">IF(D12="","",D12-SUMPRODUCT(MIN(($C$5:$C$16=C12)*($D$5:$D$16&lt;&gt;"")*$D$5:$D$16+(($C$5:$C$16&lt;&gt;C12)+($D$5:$D$16=""))*9E+099)))</f>
        <v/>
      </c>
      <c r="G12" s="9"/>
      <c r="H12" s="9"/>
      <c r="I12" s="9"/>
      <c r="J12" s="9"/>
      <c r="K12" s="9"/>
      <c r="L12" s="9"/>
      <c r="M12" s="9"/>
      <c r="N12" s="9"/>
    </row>
    <row r="13" customFormat="false" ht="23.85" hidden="false" customHeight="false" outlineLevel="0" collapsed="false">
      <c r="A13" s="4" t="s">
        <v>147</v>
      </c>
      <c r="B13" s="4" t="s">
        <v>148</v>
      </c>
      <c r="C13" s="4" t="s">
        <v>96</v>
      </c>
      <c r="D13" s="14" t="str">
        <f aca="false">IFERROR(IF(INDEX(Suivi!$I$5:$I$16,MATCH(A13,Suivi!$A$5:$A$16,0))="","",INDEX(Suivi!$I$5:$I$16,MATCH(A13,Suivi!$A$5:$A$16,0))),"")</f>
        <v/>
      </c>
      <c r="E13" s="4" t="str">
        <f aca="false">IFERROR(IF(INDEX(Suivi!$J$5:$J$16,MATCH(A13,Suivi!$A$5:$A$16,0))="","",INDEX(Suivi!$J$5:$J$16,MATCH(A13,Suivi!$A$5:$A$16,0))),"")</f>
        <v/>
      </c>
      <c r="F13" s="14" t="str">
        <f aca="false">IF(D13="","",D13-SUMPRODUCT(MIN(($C$5:$C$16=C13)*($D$5:$D$16&lt;&gt;"")*$D$5:$D$16+(($C$5:$C$16&lt;&gt;C13)+($D$5:$D$16=""))*9E+099)))</f>
        <v/>
      </c>
      <c r="G13" s="9"/>
      <c r="H13" s="9"/>
      <c r="I13" s="9"/>
      <c r="J13" s="9"/>
      <c r="K13" s="9"/>
      <c r="L13" s="9"/>
      <c r="M13" s="9"/>
      <c r="N13" s="9"/>
    </row>
    <row r="14" customFormat="false" ht="15" hidden="false" customHeight="false" outlineLevel="0" collapsed="false">
      <c r="A14" s="4" t="s">
        <v>154</v>
      </c>
      <c r="B14" s="4" t="s">
        <v>155</v>
      </c>
      <c r="C14" s="4" t="s">
        <v>18</v>
      </c>
      <c r="D14" s="14" t="str">
        <f aca="false">IFERROR(IF(INDEX(Suivi!$I$5:$I$16,MATCH(A14,Suivi!$A$5:$A$16,0))="","",INDEX(Suivi!$I$5:$I$16,MATCH(A14,Suivi!$A$5:$A$16,0))),"")</f>
        <v/>
      </c>
      <c r="E14" s="4" t="str">
        <f aca="false">IFERROR(IF(INDEX(Suivi!$J$5:$J$16,MATCH(A14,Suivi!$A$5:$A$16,0))="","",INDEX(Suivi!$J$5:$J$16,MATCH(A14,Suivi!$A$5:$A$16,0))),"")</f>
        <v/>
      </c>
      <c r="F14" s="14" t="str">
        <f aca="false">IF(D14="","",D14-SUMPRODUCT(MIN(($C$5:$C$16=C14)*($D$5:$D$16&lt;&gt;"")*$D$5:$D$16+(($C$5:$C$16&lt;&gt;C14)+($D$5:$D$16=""))*9E+099)))</f>
        <v/>
      </c>
      <c r="G14" s="9"/>
      <c r="H14" s="9"/>
      <c r="I14" s="9"/>
      <c r="J14" s="9"/>
      <c r="K14" s="9"/>
      <c r="L14" s="9"/>
      <c r="M14" s="9"/>
      <c r="N14" s="9"/>
    </row>
    <row r="15" customFormat="false" ht="15" hidden="false" customHeight="false" outlineLevel="0" collapsed="false">
      <c r="A15" s="4" t="s">
        <v>162</v>
      </c>
      <c r="B15" s="4" t="s">
        <v>163</v>
      </c>
      <c r="C15" s="4" t="s">
        <v>96</v>
      </c>
      <c r="D15" s="14" t="str">
        <f aca="false">IFERROR(IF(INDEX(Suivi!$I$5:$I$16,MATCH(A15,Suivi!$A$5:$A$16,0))="","",INDEX(Suivi!$I$5:$I$16,MATCH(A15,Suivi!$A$5:$A$16,0))),"")</f>
        <v/>
      </c>
      <c r="E15" s="4" t="str">
        <f aca="false">IFERROR(IF(INDEX(Suivi!$J$5:$J$16,MATCH(A15,Suivi!$A$5:$A$16,0))="","",INDEX(Suivi!$J$5:$J$16,MATCH(A15,Suivi!$A$5:$A$16,0))),"")</f>
        <v/>
      </c>
      <c r="F15" s="14" t="str">
        <f aca="false">IF(D15="","",D15-SUMPRODUCT(MIN(($C$5:$C$16=C15)*($D$5:$D$16&lt;&gt;"")*$D$5:$D$16+(($C$5:$C$16&lt;&gt;C15)+($D$5:$D$16=""))*9E+099)))</f>
        <v/>
      </c>
      <c r="G15" s="9"/>
      <c r="H15" s="9"/>
      <c r="I15" s="9"/>
      <c r="J15" s="9"/>
      <c r="K15" s="9"/>
      <c r="L15" s="9"/>
      <c r="M15" s="9"/>
      <c r="N15" s="9"/>
    </row>
    <row r="16" customFormat="false" ht="15" hidden="false" customHeight="false" outlineLevel="0" collapsed="false">
      <c r="A16" s="4" t="s">
        <v>169</v>
      </c>
      <c r="B16" s="4" t="s">
        <v>170</v>
      </c>
      <c r="C16" s="4" t="s">
        <v>96</v>
      </c>
      <c r="D16" s="14" t="str">
        <f aca="false">IFERROR(IF(INDEX(Suivi!$I$5:$I$16,MATCH(A16,Suivi!$A$5:$A$16,0))="","",INDEX(Suivi!$I$5:$I$16,MATCH(A16,Suivi!$A$5:$A$16,0))),"")</f>
        <v/>
      </c>
      <c r="E16" s="4" t="str">
        <f aca="false">IFERROR(IF(INDEX(Suivi!$J$5:$J$16,MATCH(A16,Suivi!$A$5:$A$16,0))="","",INDEX(Suivi!$J$5:$J$16,MATCH(A16,Suivi!$A$5:$A$16,0))),"")</f>
        <v/>
      </c>
      <c r="F16" s="14" t="str">
        <f aca="false">IF(D16="","",D16-SUMPRODUCT(MIN(($C$5:$C$16=C16)*($D$5:$D$16&lt;&gt;"")*$D$5:$D$16+(($C$5:$C$16&lt;&gt;C16)+($D$5:$D$16=""))*9E+099)))</f>
        <v/>
      </c>
      <c r="G16" s="9"/>
      <c r="H16" s="9"/>
      <c r="I16" s="9"/>
      <c r="J16" s="9"/>
      <c r="K16" s="9"/>
      <c r="L16" s="9"/>
      <c r="M16" s="9"/>
      <c r="N16" s="9"/>
    </row>
    <row r="17" customFormat="false" ht="15" hidden="false" customHeight="false" outlineLevel="0" collapsed="false">
      <c r="D17" s="13"/>
    </row>
    <row r="18" customFormat="false" ht="15" hidden="false" customHeight="false" outlineLevel="0" collapsed="false">
      <c r="B18" s="13" t="s">
        <v>219</v>
      </c>
      <c r="D18" s="15" t="str">
        <f aca="false">IFERROR(SUMPRODUCT(MIN(($C$5:$C$16="2a Aquarium")*($D$5:$D$16&lt;&gt;"")*$D$5:$D$16+(($C$5:$C$16&lt;&gt;"2a Aquarium")+($D$5:$D$16=""))*9E+099)),"")</f>
        <v/>
      </c>
      <c r="E18" s="15" t="str">
        <f aca="false">IFERROR(AVERAGEIFS($D$5:$D$16,$C$5:$C$16,"2a Aquarium"),"")</f>
        <v/>
      </c>
    </row>
    <row r="19" customFormat="false" ht="15" hidden="false" customHeight="false" outlineLevel="0" collapsed="false">
      <c r="B19" s="13" t="s">
        <v>220</v>
      </c>
      <c r="D19" s="15" t="str">
        <f aca="false">IFERROR(SUMPRODUCT(MIN(($C$5:$C$16="2b Châssis")*($D$5:$D$16&lt;&gt;"")*$D$5:$D$16+(($C$5:$C$16&lt;&gt;"2b Châssis")+($D$5:$D$16=""))*9E+099)),"")</f>
        <v/>
      </c>
      <c r="E19" s="15" t="str">
        <f aca="false">IFERROR(AVERAGEIFS($D$5:$D$16,$C$5:$C$16,"2b Châssis"),"")</f>
        <v/>
      </c>
    </row>
    <row r="20" customFormat="false" ht="15" hidden="false" customHeight="false" outlineLevel="0" collapsed="false">
      <c r="B20" s="2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3" t="s">
        <v>222</v>
      </c>
      <c r="B1" s="16" t="s">
        <v>223</v>
      </c>
    </row>
    <row r="2" customFormat="false" ht="23.85" hidden="false" customHeight="false" outlineLevel="0" collapsed="false">
      <c r="A2" s="13" t="s">
        <v>224</v>
      </c>
      <c r="B2" s="16" t="s">
        <v>225</v>
      </c>
    </row>
    <row r="3" customFormat="false" ht="23.85" hidden="false" customHeight="false" outlineLevel="0" collapsed="false">
      <c r="A3" s="13" t="s">
        <v>226</v>
      </c>
      <c r="B3" s="16" t="s">
        <v>227</v>
      </c>
    </row>
    <row r="4" customFormat="false" ht="15" hidden="false" customHeight="false" outlineLevel="0" collapsed="false">
      <c r="A4" s="13" t="s">
        <v>228</v>
      </c>
      <c r="B4" s="16" t="s">
        <v>229</v>
      </c>
    </row>
    <row r="5" customFormat="false" ht="23.85" hidden="false" customHeight="false" outlineLevel="0" collapsed="false">
      <c r="A5" s="13" t="s">
        <v>230</v>
      </c>
      <c r="B5" s="16" t="s">
        <v>231</v>
      </c>
    </row>
    <row r="6" customFormat="false" ht="15" hidden="false" customHeight="false" outlineLevel="0" collapsed="false">
      <c r="A6" s="13" t="s">
        <v>232</v>
      </c>
      <c r="B6" s="16" t="s">
        <v>233</v>
      </c>
    </row>
    <row r="7" customFormat="false" ht="15" hidden="false" customHeight="false" outlineLevel="0" collapsed="false">
      <c r="A7" s="13" t="s">
        <v>234</v>
      </c>
      <c r="B7" s="16" t="s">
        <v>235</v>
      </c>
    </row>
    <row r="8" customFormat="false" ht="15" hidden="false" customHeight="false" outlineLevel="0" collapsed="false">
      <c r="A8" s="13" t="s">
        <v>236</v>
      </c>
      <c r="B8" s="16" t="s">
        <v>237</v>
      </c>
    </row>
    <row r="9" customFormat="false" ht="15" hidden="false" customHeight="false" outlineLevel="0" collapsed="false">
      <c r="A9" s="13" t="s">
        <v>238</v>
      </c>
      <c r="B9" s="16" t="s">
        <v>239</v>
      </c>
    </row>
    <row r="10" customFormat="false" ht="15" hidden="false" customHeight="false" outlineLevel="0" collapsed="false">
      <c r="A10" s="13" t="s">
        <v>240</v>
      </c>
      <c r="B10" s="16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2026-09-29T20:28:39Z</dcterms:created>
  <dc:creator>openpyxl</dc:creator>
  <dc:description/>
  <dc:language>en-US</dc:language>
  <cp:lastModifiedBy/>
  <dcterms:modified xsi:type="dcterms:W3CDTF">2026-09-29T20:28:39Z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